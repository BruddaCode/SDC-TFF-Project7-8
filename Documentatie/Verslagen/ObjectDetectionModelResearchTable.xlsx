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8c28196cba6f70/Documenten/GitHub/SDC-TFF-Project7-8/Documentatie/Verslagen/"/>
    </mc:Choice>
  </mc:AlternateContent>
  <xr:revisionPtr revIDLastSave="57" documentId="8_{968AD4E2-7281-4FFD-A457-365E7A3A9BDB}" xr6:coauthVersionLast="47" xr6:coauthVersionMax="47" xr10:uidLastSave="{87E02CCD-876A-44B8-8E42-E71318A1FF2A}"/>
  <bookViews>
    <workbookView xWindow="11895" yWindow="0" windowWidth="17010" windowHeight="15585" xr2:uid="{477A8081-41AD-42FF-8C14-0FDD8409DF5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I9" i="1"/>
  <c r="G9" i="1"/>
  <c r="E9" i="1"/>
</calcChain>
</file>

<file path=xl/sharedStrings.xml><?xml version="1.0" encoding="utf-8"?>
<sst xmlns="http://schemas.openxmlformats.org/spreadsheetml/2006/main" count="80" uniqueCount="61">
  <si>
    <t>Criterium 3: Load</t>
  </si>
  <si>
    <t>Criterium 4: Trainability</t>
  </si>
  <si>
    <t>Weging</t>
  </si>
  <si>
    <t>Alternatief 1</t>
  </si>
  <si>
    <t>Alternatief 2</t>
  </si>
  <si>
    <t>Alternatief 3</t>
  </si>
  <si>
    <t>Alternatief 4</t>
  </si>
  <si>
    <t>YOLOv8</t>
  </si>
  <si>
    <t>YOLOv26</t>
  </si>
  <si>
    <t>SSD</t>
  </si>
  <si>
    <t>Faster R-CNN</t>
  </si>
  <si>
    <t>Kolom1</t>
  </si>
  <si>
    <t>Kolom2</t>
  </si>
  <si>
    <t>Kolom3</t>
  </si>
  <si>
    <t>Kolom4</t>
  </si>
  <si>
    <t>Kolom5</t>
  </si>
  <si>
    <t>Kolom6</t>
  </si>
  <si>
    <t>Kolom7</t>
  </si>
  <si>
    <t>Kolom8</t>
  </si>
  <si>
    <t>Kolom9</t>
  </si>
  <si>
    <t>Kolom10</t>
  </si>
  <si>
    <t>score</t>
  </si>
  <si>
    <t>Resultaat</t>
  </si>
  <si>
    <t>~100-200 ms</t>
  </si>
  <si>
    <t>Simple</t>
  </si>
  <si>
    <t>Complex</t>
  </si>
  <si>
    <t>High</t>
  </si>
  <si>
    <t>Medium</t>
  </si>
  <si>
    <t>Low/Medium</t>
  </si>
  <si>
    <t>Scorebord</t>
  </si>
  <si>
    <t>Waarde Criterium 1</t>
  </si>
  <si>
    <t>Waarde Criterium 2</t>
  </si>
  <si>
    <t>Waarde Criterium 3</t>
  </si>
  <si>
    <t>Waarde Criterium 4</t>
  </si>
  <si>
    <t>Score 3</t>
  </si>
  <si>
    <t>Score 2</t>
  </si>
  <si>
    <t>Score 1</t>
  </si>
  <si>
    <t>Low</t>
  </si>
  <si>
    <t>~1-50 ms</t>
  </si>
  <si>
    <t>~51-100 ms</t>
  </si>
  <si>
    <t>&gt;= 101 ms</t>
  </si>
  <si>
    <t>https://docs.ultralytics.com/models/yolo26/#overview</t>
  </si>
  <si>
    <t>Faster RCNN</t>
  </si>
  <si>
    <t xml:space="preserve">https://huggingface.co/sjatin352/faster_rcnn_resnet50_genetic_algorithm </t>
  </si>
  <si>
    <t xml:space="preserve">https://www.kaggle.com/code/abedi756/ssd-single-shot-detection#Load-in-the-model </t>
  </si>
  <si>
    <t xml:space="preserve">https://arxiv.org/pdf/1512.02325 </t>
  </si>
  <si>
    <t xml:space="preserve">https://docs.ultralytics.com/models/yolov8/#overview </t>
  </si>
  <si>
    <t xml:space="preserve">https://app.readytensor.ai/publications/comparing-yolov8-ssd-and-fasterrcnn-for-realtime-object-detection-IbA4gAvuaYW8 </t>
  </si>
  <si>
    <t>Criterium 2: Accuracy (mAP)</t>
  </si>
  <si>
    <t>Criterium 1: Latency (ms)</t>
  </si>
  <si>
    <t>~70-90%</t>
  </si>
  <si>
    <t>~75-90%</t>
  </si>
  <si>
    <t>~72-74%</t>
  </si>
  <si>
    <t>80-95%</t>
  </si>
  <si>
    <t>~10-33 ms</t>
  </si>
  <si>
    <t>~8-40 ms</t>
  </si>
  <si>
    <t>~17-33 ms</t>
  </si>
  <si>
    <t>Moderate</t>
  </si>
  <si>
    <t>70-80%</t>
  </si>
  <si>
    <t>81-90%</t>
  </si>
  <si>
    <t>91-100%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</si>
</sst>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1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58133-C756-4CEF-AE99-D902388CB0E3}" name="Tabel1" displayName="Tabel1" ref="B2:K9" totalsRowShown="0">
  <autoFilter ref="B2:K9" xr:uid="{22058133-C756-4CEF-AE99-D902388CB0E3}"/>
  <tableColumns count="10">
    <tableColumn id="1" xr3:uid="{F9A521C7-45DC-421F-9505-2D3BC229BE87}" name="Kolom1"/>
    <tableColumn id="2" xr3:uid="{84CF2686-97DF-4A8C-B4D0-BCD66D96215C}" name="Kolom2"/>
    <tableColumn id="3" xr3:uid="{4B6A73E0-DB60-46FC-8F36-1C82DE75396B}" name="Kolom3"/>
    <tableColumn id="4" xr3:uid="{3DE70B19-3239-413D-A914-F5459CE48E6F}" name="Kolom4"/>
    <tableColumn id="5" xr3:uid="{D7433E9B-6FF8-4DF5-87F4-A790EBE182BF}" name="Kolom5"/>
    <tableColumn id="6" xr3:uid="{81323C72-EDB6-4919-A31C-9F7D81E8CFF7}" name="Kolom6"/>
    <tableColumn id="7" xr3:uid="{B9D18BB4-B438-4D32-A57B-D148870EECB5}" name="Kolom7"/>
    <tableColumn id="8" xr3:uid="{5E60B9DC-3127-4A13-911D-9A0C95F1E2CE}" name="Kolom8"/>
    <tableColumn id="9" xr3:uid="{C8606333-D7D9-4579-BEF0-D75EE7377A61}" name="Kolom9"/>
    <tableColumn id="10" xr3:uid="{718A1550-8720-4123-9F51-9E66AECCD52C}" name="Kolom1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867958-2510-493D-86B6-5E2FA87EEA08}" name="Tabel2" displayName="Tabel2" ref="M14:P19" totalsRowShown="0">
  <autoFilter ref="M14:P19" xr:uid="{9D867958-2510-493D-86B6-5E2FA87EEA08}"/>
  <tableColumns count="4">
    <tableColumn id="1" xr3:uid="{3B2D2499-3380-4A42-BCD9-8382BED83060}" name="Kolom1"/>
    <tableColumn id="2" xr3:uid="{9C886413-12F5-41A1-8DE8-33AB32D7EE16}" name="Kolom2"/>
    <tableColumn id="3" xr3:uid="{74035616-15FA-4E40-9D01-73CE6B1BC8AF}" name="Kolom3"/>
    <tableColumn id="4" xr3:uid="{FF95AC35-D9FB-4B1B-86CC-167B36691857}" name="Kolom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www.kaggle.com/code/abedi756/ssd-single-shot-detection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huggingface.co/sjatin352/faster_rcnn_resnet50_genetic_algorithm" TargetMode="External"/><Relationship Id="rId1" Type="http://schemas.openxmlformats.org/officeDocument/2006/relationships/hyperlink" Target="https://docs.ultralytics.com/models/yolo26/" TargetMode="External"/><Relationship Id="rId6" Type="http://schemas.openxmlformats.org/officeDocument/2006/relationships/hyperlink" Target="https://app.readytensor.ai/publications/comparing-yolov8-ssd-and-fasterrcnn-for-realtime-object-detection-IbA4gAvuaYW8" TargetMode="External"/><Relationship Id="rId5" Type="http://schemas.openxmlformats.org/officeDocument/2006/relationships/hyperlink" Target="https://docs.ultralytics.com/models/yolov8/" TargetMode="External"/><Relationship Id="rId4" Type="http://schemas.openxmlformats.org/officeDocument/2006/relationships/hyperlink" Target="https://arxiv.org/pdf/1512.023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C330-A3CC-4D92-8FB1-356F73D87D1A}">
  <dimension ref="B2:P19"/>
  <sheetViews>
    <sheetView tabSelected="1" workbookViewId="0">
      <selection activeCell="M12" sqref="M12"/>
    </sheetView>
  </sheetViews>
  <sheetFormatPr defaultRowHeight="15" x14ac:dyDescent="0.25"/>
  <cols>
    <col min="2" max="2" width="24.7109375" customWidth="1"/>
    <col min="3" max="3" width="7.28515625" customWidth="1"/>
    <col min="4" max="4" width="13.7109375" customWidth="1"/>
    <col min="5" max="5" width="7.7109375" customWidth="1"/>
    <col min="6" max="6" width="13.7109375" customWidth="1"/>
    <col min="7" max="7" width="7.7109375" customWidth="1"/>
    <col min="8" max="8" width="13.7109375" customWidth="1"/>
    <col min="9" max="9" width="7.7109375" customWidth="1"/>
    <col min="10" max="10" width="13.7109375" customWidth="1"/>
    <col min="11" max="11" width="7.7109375" customWidth="1"/>
    <col min="13" max="13" width="18.140625" customWidth="1"/>
    <col min="14" max="15" width="10.7109375" customWidth="1"/>
    <col min="16" max="16" width="9.85546875" customWidth="1"/>
  </cols>
  <sheetData>
    <row r="2" spans="2:16" x14ac:dyDescent="0.25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2:16" x14ac:dyDescent="0.25">
      <c r="D3" t="s">
        <v>3</v>
      </c>
      <c r="E3" t="s">
        <v>21</v>
      </c>
      <c r="F3" t="s">
        <v>4</v>
      </c>
      <c r="G3" t="s">
        <v>21</v>
      </c>
      <c r="H3" t="s">
        <v>5</v>
      </c>
      <c r="I3" t="s">
        <v>21</v>
      </c>
      <c r="J3" t="s">
        <v>6</v>
      </c>
      <c r="K3" t="s">
        <v>21</v>
      </c>
    </row>
    <row r="4" spans="2:16" x14ac:dyDescent="0.25">
      <c r="C4" t="s">
        <v>2</v>
      </c>
      <c r="D4" t="s">
        <v>7</v>
      </c>
      <c r="F4" t="s">
        <v>8</v>
      </c>
      <c r="H4" t="s">
        <v>9</v>
      </c>
      <c r="J4" t="s">
        <v>10</v>
      </c>
    </row>
    <row r="5" spans="2:16" ht="30.75" customHeight="1" x14ac:dyDescent="0.25">
      <c r="B5" t="s">
        <v>49</v>
      </c>
      <c r="C5">
        <v>3</v>
      </c>
      <c r="D5" t="s">
        <v>54</v>
      </c>
      <c r="E5">
        <v>3</v>
      </c>
      <c r="F5" t="s">
        <v>55</v>
      </c>
      <c r="G5">
        <v>3</v>
      </c>
      <c r="H5" t="s">
        <v>56</v>
      </c>
      <c r="I5">
        <v>3</v>
      </c>
      <c r="J5" t="s">
        <v>23</v>
      </c>
      <c r="K5">
        <v>1</v>
      </c>
    </row>
    <row r="6" spans="2:16" ht="29.25" customHeight="1" x14ac:dyDescent="0.25">
      <c r="B6" t="s">
        <v>48</v>
      </c>
      <c r="C6">
        <v>2</v>
      </c>
      <c r="D6" t="s">
        <v>50</v>
      </c>
      <c r="E6">
        <v>2</v>
      </c>
      <c r="F6" t="s">
        <v>51</v>
      </c>
      <c r="G6">
        <v>2.1</v>
      </c>
      <c r="H6" t="s">
        <v>52</v>
      </c>
      <c r="I6">
        <v>1</v>
      </c>
      <c r="J6" t="s">
        <v>53</v>
      </c>
      <c r="K6">
        <v>3</v>
      </c>
    </row>
    <row r="7" spans="2:16" ht="29.25" customHeight="1" x14ac:dyDescent="0.25">
      <c r="B7" t="s">
        <v>0</v>
      </c>
      <c r="C7">
        <v>3</v>
      </c>
      <c r="D7" t="s">
        <v>28</v>
      </c>
      <c r="E7">
        <v>1.5</v>
      </c>
      <c r="F7" t="s">
        <v>28</v>
      </c>
      <c r="G7">
        <v>1.5</v>
      </c>
      <c r="H7" t="s">
        <v>27</v>
      </c>
      <c r="I7">
        <v>2</v>
      </c>
      <c r="J7" t="s">
        <v>26</v>
      </c>
      <c r="K7">
        <v>1</v>
      </c>
    </row>
    <row r="8" spans="2:16" ht="30.75" customHeight="1" x14ac:dyDescent="0.25">
      <c r="B8" t="s">
        <v>1</v>
      </c>
      <c r="C8">
        <v>1</v>
      </c>
      <c r="D8" t="s">
        <v>24</v>
      </c>
      <c r="E8">
        <v>3</v>
      </c>
      <c r="F8" t="s">
        <v>24</v>
      </c>
      <c r="G8">
        <v>3</v>
      </c>
      <c r="H8" t="s">
        <v>24</v>
      </c>
      <c r="I8">
        <v>3</v>
      </c>
      <c r="J8" t="s">
        <v>25</v>
      </c>
      <c r="K8">
        <v>1</v>
      </c>
    </row>
    <row r="9" spans="2:16" ht="30.75" customHeight="1" x14ac:dyDescent="0.25">
      <c r="B9" t="s">
        <v>22</v>
      </c>
      <c r="E9">
        <f>SUM((C5*E5)+(C6*E6)+(C7*E7)+(C8*E8))</f>
        <v>20.5</v>
      </c>
      <c r="G9">
        <f>SUM((C5*G5)+(C6*G6)+(C7*G7)+(C8*G8))</f>
        <v>20.7</v>
      </c>
      <c r="I9">
        <f>SUM((C5*I5)+(C6*I6)+(C7*I7)+(C8*I8))</f>
        <v>20</v>
      </c>
      <c r="K9">
        <f>SUM((C5*K5)+(C6*K6)+(C7*K7)+(C8*K8))</f>
        <v>13</v>
      </c>
    </row>
    <row r="11" spans="2:16" x14ac:dyDescent="0.25">
      <c r="C11" t="s">
        <v>7</v>
      </c>
      <c r="E11" s="2" t="s">
        <v>46</v>
      </c>
    </row>
    <row r="12" spans="2:16" x14ac:dyDescent="0.25">
      <c r="C12" t="s">
        <v>8</v>
      </c>
      <c r="E12" s="2" t="s">
        <v>41</v>
      </c>
    </row>
    <row r="13" spans="2:16" x14ac:dyDescent="0.25">
      <c r="C13" t="s">
        <v>42</v>
      </c>
      <c r="E13" s="2" t="s">
        <v>43</v>
      </c>
      <c r="M13" t="s">
        <v>29</v>
      </c>
    </row>
    <row r="14" spans="2:16" x14ac:dyDescent="0.25">
      <c r="C14" t="s">
        <v>42</v>
      </c>
      <c r="E14" s="2" t="s">
        <v>47</v>
      </c>
      <c r="M14" t="s">
        <v>11</v>
      </c>
      <c r="N14" t="s">
        <v>12</v>
      </c>
      <c r="O14" t="s">
        <v>13</v>
      </c>
      <c r="P14" t="s">
        <v>14</v>
      </c>
    </row>
    <row r="15" spans="2:16" x14ac:dyDescent="0.25">
      <c r="C15" t="s">
        <v>9</v>
      </c>
      <c r="E15" s="2" t="s">
        <v>44</v>
      </c>
      <c r="N15" t="s">
        <v>34</v>
      </c>
      <c r="O15" t="s">
        <v>35</v>
      </c>
      <c r="P15" t="s">
        <v>36</v>
      </c>
    </row>
    <row r="16" spans="2:16" x14ac:dyDescent="0.25">
      <c r="C16" t="s">
        <v>9</v>
      </c>
      <c r="E16" s="2" t="s">
        <v>45</v>
      </c>
      <c r="M16" t="s">
        <v>30</v>
      </c>
      <c r="N16" s="1" t="s">
        <v>38</v>
      </c>
      <c r="O16" t="s">
        <v>39</v>
      </c>
      <c r="P16" t="s">
        <v>40</v>
      </c>
    </row>
    <row r="17" spans="13:16" x14ac:dyDescent="0.25">
      <c r="M17" t="s">
        <v>31</v>
      </c>
      <c r="N17" t="s">
        <v>60</v>
      </c>
      <c r="O17" t="s">
        <v>59</v>
      </c>
      <c r="P17" t="s">
        <v>58</v>
      </c>
    </row>
    <row r="18" spans="13:16" x14ac:dyDescent="0.25">
      <c r="M18" t="s">
        <v>32</v>
      </c>
      <c r="N18" t="s">
        <v>37</v>
      </c>
      <c r="O18" t="s">
        <v>57</v>
      </c>
      <c r="P18" t="s">
        <v>26</v>
      </c>
    </row>
    <row r="19" spans="13:16" x14ac:dyDescent="0.25">
      <c r="M19" t="s">
        <v>33</v>
      </c>
      <c r="N19" t="s">
        <v>24</v>
      </c>
      <c r="O19" t="s">
        <v>57</v>
      </c>
      <c r="P19" t="s">
        <v>25</v>
      </c>
    </row>
  </sheetData>
  <hyperlinks>
    <hyperlink ref="E12" r:id="rId1" location="overview" xr:uid="{A04A9BE7-4E6A-44D4-99E9-D7C0DC70F282}"/>
    <hyperlink ref="E13" r:id="rId2" xr:uid="{677C0D33-2609-4930-B8F6-7D14E2764BD1}"/>
    <hyperlink ref="E15" r:id="rId3" location="Load-in-the-model " xr:uid="{8882E08D-BAE4-42D4-99A3-7DA3CB433F3B}"/>
    <hyperlink ref="E16" r:id="rId4" xr:uid="{CEE64DB3-5EAB-4872-9A91-B41F5AF975FD}"/>
    <hyperlink ref="E11" r:id="rId5" location="overview " xr:uid="{DE74D5BF-F616-4567-8A56-EE2A9F36E83D}"/>
    <hyperlink ref="E14" r:id="rId6" xr:uid="{1DD31506-5F37-428B-89C4-B0F157A82E22}"/>
  </hyperlinks>
  <pageMargins left="0.7" right="0.7" top="0.75" bottom="0.75" header="0.3" footer="0.3"/>
  <tableParts count="2"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Heijmans</dc:creator>
  <cp:lastModifiedBy>Tom Heijmans</cp:lastModifiedBy>
  <dcterms:created xsi:type="dcterms:W3CDTF">2026-03-05T13:19:37Z</dcterms:created>
  <dcterms:modified xsi:type="dcterms:W3CDTF">2026-03-16T10:28:56Z</dcterms:modified>
</cp:coreProperties>
</file>